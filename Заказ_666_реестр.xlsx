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правкиопла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,00"/>
  </numFmts>
  <fonts count="3">
    <font>
      <name val="Calibri"/>
      <family val="2"/>
      <color theme="1"/>
      <sz val="11"/>
      <scheme val="minor"/>
    </font>
    <font>
      <b val="1"/>
    </font>
    <font>
      <color rgb="001155CC"/>
      <u val="single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file/d/163P6TurhepidTNGCb9-batYbupoEdkKj/view?usp=drive_link" TargetMode="External" Id="rId1"/><Relationship Type="http://schemas.openxmlformats.org/officeDocument/2006/relationships/hyperlink" Target="https://drive.google.com/drive/folders/14WXPFIq_emuFipzVRwFI9TiOwtGCsMHY?usp=sharing" TargetMode="External" Id="rId2"/><Relationship Type="http://schemas.openxmlformats.org/officeDocument/2006/relationships/hyperlink" Target="https://drive.google.com/file/d/1Omirnm78BmzFs9yUDFdy_N-sI2PDPJki/view?usp=drive_link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46" customWidth="1" min="3" max="3"/>
    <col width="32" customWidth="1" min="4" max="4"/>
    <col width="10" customWidth="1" min="5" max="5"/>
    <col width="9" customWidth="1" min="6" max="6"/>
    <col width="20" customWidth="1" min="7" max="7"/>
    <col width="12" customWidth="1" min="8" max="8"/>
    <col width="13" customWidth="1" min="9" max="9"/>
    <col width="14" customWidth="1" min="10" max="10"/>
    <col width="9" customWidth="1" min="11" max="11"/>
    <col width="7" customWidth="1" min="12" max="12"/>
    <col width="8" customWidth="1" min="13" max="13"/>
    <col width="15" customWidth="1" min="14" max="14"/>
    <col width="20" customWidth="1" min="15" max="15"/>
    <col width="28" customWidth="1" min="16" max="16"/>
    <col width="14" customWidth="1" min="17" max="17"/>
    <col width="14" customWidth="1" min="18" max="18"/>
    <col width="20" customWidth="1" min="19" max="19"/>
    <col width="24" customWidth="1" min="20" max="20"/>
    <col width="14" customWidth="1" min="21" max="21"/>
    <col width="15" customWidth="1" min="22" max="22"/>
  </cols>
  <sheetData>
    <row r="1" ht="42" customHeight="1">
      <c r="A1" s="1" t="inlineStr">
        <is>
          <t>№ заказа</t>
        </is>
      </c>
      <c r="B1" s="1" t="inlineStr">
        <is>
          <t>договор</t>
        </is>
      </c>
      <c r="C1" s="1" t="inlineStr">
        <is>
          <t>учет</t>
        </is>
      </c>
      <c r="D1" s="1" t="inlineStr">
        <is>
          <t>модель</t>
        </is>
      </c>
      <c r="E1" s="1" t="inlineStr">
        <is>
          <t>заказано</t>
        </is>
      </c>
      <c r="F1" s="1" t="inlineStr">
        <is>
          <t>цена</t>
        </is>
      </c>
      <c r="G1" s="1" t="inlineStr">
        <is>
          <t>документы</t>
        </is>
      </c>
      <c r="H1" s="1" t="inlineStr">
        <is>
          <t>цех</t>
        </is>
      </c>
      <c r="I1" s="1" t="inlineStr">
        <is>
          <t>статус</t>
        </is>
      </c>
      <c r="J1" s="1" t="inlineStr">
        <is>
          <t>дата отправки</t>
        </is>
      </c>
      <c r="K1" s="1" t="inlineStr">
        <is>
          <t>кол-во</t>
        </is>
      </c>
      <c r="L1" s="1" t="inlineStr">
        <is>
          <t>мест</t>
        </is>
      </c>
      <c r="M1" s="1" t="inlineStr">
        <is>
          <t>вес</t>
        </is>
      </c>
      <c r="N1" s="1" t="inlineStr">
        <is>
          <t>сумма отправки</t>
        </is>
      </c>
      <c r="O1" s="1" t="inlineStr">
        <is>
          <t>документы отправки</t>
        </is>
      </c>
      <c r="P1" s="1" t="inlineStr">
        <is>
          <t>водитель</t>
        </is>
      </c>
      <c r="Q1" s="1" t="inlineStr">
        <is>
          <t>сумма заказа</t>
        </is>
      </c>
      <c r="R1" s="1" t="inlineStr">
        <is>
          <t>предоплата</t>
        </is>
      </c>
      <c r="S1" s="1" t="inlineStr">
        <is>
          <t>фактическая постоплата</t>
        </is>
      </c>
      <c r="T1" s="1" t="inlineStr">
        <is>
          <t>предполагаемая постоплата</t>
        </is>
      </c>
      <c r="U1" s="1" t="inlineStr">
        <is>
          <t>недоплата</t>
        </is>
      </c>
      <c r="V1" s="1" t="inlineStr">
        <is>
          <t>доп постоплата</t>
        </is>
      </c>
    </row>
    <row r="2" ht="34" customHeight="1">
      <c r="A2" s="2" t="inlineStr">
        <is>
          <t>Аи 13.04.26/4</t>
        </is>
      </c>
      <c r="B2" s="2" t="inlineStr">
        <is>
          <t>666/1-1</t>
        </is>
      </c>
      <c r="C2" s="3" t="inlineStr">
        <is>
          <t>Костюм_руб_с_кор_рук_и_шорт_Учет_Бишкек_NEW_Айзада_Az.pdf</t>
        </is>
      </c>
      <c r="D2" s="4" t="inlineStr">
        <is>
          <t>костюм летний с шортами сингапур</t>
        </is>
      </c>
      <c r="E2" s="2" t="n">
        <v>750</v>
      </c>
      <c r="F2" s="5" t="n">
        <v>400</v>
      </c>
      <c r="G2" s="6" t="inlineStr">
        <is>
          <t>Аи 13.04.26/4_666</t>
        </is>
      </c>
      <c r="H2" s="2" t="n"/>
      <c r="I2" s="2" t="inlineStr">
        <is>
          <t>отправлено</t>
        </is>
      </c>
      <c r="J2" s="2" t="inlineStr">
        <is>
          <t>05.06.2026</t>
        </is>
      </c>
      <c r="K2" s="2" t="n">
        <v>812</v>
      </c>
      <c r="L2" s="2" t="n">
        <v>8</v>
      </c>
      <c r="M2" s="2" t="n">
        <v>282</v>
      </c>
      <c r="N2" s="5" t="n">
        <v>324800</v>
      </c>
      <c r="O2" s="6" t="inlineStr">
        <is>
          <t>отправка 666.pdf</t>
        </is>
      </c>
      <c r="P2" s="4" t="inlineStr">
        <is>
          <t>Ташыкулов Элмир Койчубаевич</t>
        </is>
      </c>
      <c r="Q2" s="5" t="n">
        <v>300000</v>
      </c>
      <c r="R2" s="5" t="n">
        <v>150000</v>
      </c>
      <c r="S2" s="5" t="n">
        <v>174800</v>
      </c>
      <c r="T2" s="5">
        <f>VALUE(SUBSTITUTE(N2," ",""))-VALUE(SUBSTITUTE(R2," ",""))</f>
        <v/>
      </c>
      <c r="U2" s="5">
        <f>VALUE(SUBSTITUTE(T2," ",""))-VALUE(SUBSTITUTE(S2," ",""))</f>
        <v/>
      </c>
      <c r="V2" s="5" t="n"/>
    </row>
  </sheetData>
  <dataValidations count="1">
    <dataValidation sqref="H2:H1000" showDropDown="0" showInputMessage="0" showErrorMessage="0" allowBlank="1" type="list">
      <formula1>"Нурлан,Майрам,Венера,Дача-Суу,Сулайман"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G2" r:id="rId2"/>
    <hyperlink xmlns:r="http://schemas.openxmlformats.org/officeDocument/2006/relationships" ref="O2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2026-10-10T14:54:56Z</dcterms:created>
  <dcterms:modified xmlns:dcterms="http://purl.org/dc/terms/" xmlns:xsi="http://www.w3.org/2001/XMLSchema-instance" xsi:type="dcterms:W3CDTF">2026-10-10T14:54:56Z</dcterms:modified>
</cp:coreProperties>
</file>