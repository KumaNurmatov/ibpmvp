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едоплата" sheetId="1" r:id="rId1"/>
    <sheet name="нет постоплат" sheetId="2" r:id="rId2"/>
    <sheet name="закрытые" sheetId="3" r:id="rId3"/>
    <sheet name="проверки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8"/>
            <color indexed="81"/>
            <rFont val="Tahoma"/>
            <family val="2"/>
          </rPr>
          <t>Источник: specdog.pdf</t>
        </r>
      </text>
    </comment>
    <comment ref="J6" authorId="0">
      <text>
        <r>
          <rPr>
            <sz val="8"/>
            <color indexed="81"/>
            <rFont val="Tahoma"/>
            <family val="2"/>
          </rPr>
          <t>Источник: predoplata.pdf
Документ № 291
Назначение: дог.666/1-1 от 13.04.2026, по спец.1 от 13.04.26, за текст.изд.(костюм)</t>
        </r>
      </text>
    </comment>
    <comment ref="B7" authorId="0">
      <text>
        <r>
          <rPr>
            <sz val="8"/>
            <color indexed="81"/>
            <rFont val="Tahoma"/>
            <family val="2"/>
          </rPr>
          <t>Источник: specdog.pdf</t>
        </r>
      </text>
    </comment>
    <comment ref="B12" authorId="0">
      <text>
        <r>
          <rPr>
            <sz val="8"/>
            <color indexed="81"/>
            <rFont val="Tahoma"/>
            <family val="2"/>
          </rPr>
          <t>Источник: otpravka.pdf</t>
        </r>
      </text>
    </comment>
    <comment ref="C12" authorId="0">
      <text>
        <r>
          <rPr>
            <sz val="8"/>
            <color indexed="81"/>
            <rFont val="Tahoma"/>
            <family val="2"/>
          </rPr>
          <t>Источник: otpravka.pdf</t>
        </r>
      </text>
    </comment>
    <comment ref="D12" authorId="0">
      <text>
        <r>
          <rPr>
            <sz val="8"/>
            <color indexed="81"/>
            <rFont val="Tahoma"/>
            <family val="2"/>
          </rPr>
          <t>Источник: otpravka.pdf</t>
        </r>
      </text>
    </comment>
    <comment ref="B15" authorId="0">
      <text>
        <r>
          <rPr>
            <sz val="8"/>
            <color indexed="81"/>
            <rFont val="Tahoma"/>
            <family val="2"/>
          </rPr>
          <t>specification: specdog.pdf
contract: dogovor.pdf
payment_order: predoplata.pdf
waybill: otpravka.pdf
order_sheet: zakaz.pdf</t>
        </r>
      </text>
    </comment>
  </commentList>
</comments>
</file>

<file path=xl/sharedStrings.xml><?xml version="1.0" encoding="utf-8"?>
<sst xmlns="http://schemas.openxmlformats.org/spreadsheetml/2006/main" count="47" uniqueCount="40">
  <si>
    <t>Заказ Аи 13.04.26/4</t>
  </si>
  <si>
    <t>666/1-1</t>
  </si>
  <si>
    <t>ОПЛАТЫ И ПОДТВЕРЖДЕНИЯ</t>
  </si>
  <si>
    <t>Нет постоплаты</t>
  </si>
  <si>
    <t>Костюм летний с шортами сингапур</t>
  </si>
  <si>
    <t>Вид операции</t>
  </si>
  <si>
    <t>Дата</t>
  </si>
  <si>
    <t>Сумма, ₽</t>
  </si>
  <si>
    <t>Заказано:</t>
  </si>
  <si>
    <t>Цена пошива:</t>
  </si>
  <si>
    <t>Сумма заказа:</t>
  </si>
  <si>
    <t>Предоплата</t>
  </si>
  <si>
    <t>Оплачено</t>
  </si>
  <si>
    <t>Отправка</t>
  </si>
  <si>
    <t>Дата отправки</t>
  </si>
  <si>
    <t>Кол-во</t>
  </si>
  <si>
    <t>Мест</t>
  </si>
  <si>
    <t>Вес</t>
  </si>
  <si>
    <t>Сумма</t>
  </si>
  <si>
    <t>Подтвержденные переносы</t>
  </si>
  <si>
    <t>Со знаком + в этот заказ, − из него</t>
  </si>
  <si>
    <t>Учет</t>
  </si>
  <si>
    <t>РАСЧЁТНЫЙ ОСТАТОК</t>
  </si>
  <si>
    <t>Документы</t>
  </si>
  <si>
    <t>specdog.pdf, dogovor.pdf, predoplata.pdf, otpravka.pdf</t>
  </si>
  <si>
    <t>Предположительно не принято / не оплачено</t>
  </si>
  <si>
    <t>Отгружено на 62 шт больше заказа (812 против 750, +8.3%) на 24 800,00 ₽. Нужно допсоглашение к спецификации. (ещё замечаний: 2)</t>
  </si>
  <si>
    <t>Заказ</t>
  </si>
  <si>
    <t>Договор</t>
  </si>
  <si>
    <t>Уровень</t>
  </si>
  <si>
    <t>Код</t>
  </si>
  <si>
    <t>Что не так</t>
  </si>
  <si>
    <t>Аи 13.04.26/4</t>
  </si>
  <si>
    <t>warn</t>
  </si>
  <si>
    <t>overdelivery</t>
  </si>
  <si>
    <t>Отгружено на 62 шт больше заказа (812 против 750, +8.3%) на 24 800,00 ₽. Нужно допсоглашение к спецификации.</t>
  </si>
  <si>
    <t>late_shipment</t>
  </si>
  <si>
    <t>Отгрузка 2026-06-05 при сроке до 2026-04-23 — просрочка 43 дн. Неустойка по условиям 1%/день: 129 000,00 ₽.</t>
  </si>
  <si>
    <t>conflict</t>
  </si>
  <si>
    <t>Поле «item» расходится между документами: 'Костюм летний с шортами сингапур' (specdog.pdf) / 'Костюм оливковый р.38-56' (otpravka.pdf) / 'Костюм летний с шортами оливковый сингапур' (zakaz.pdf). Принято 'Костюм летний с шортами сингапур' из specdog.pdf.</t>
  </si>
</sst>
</file>

<file path=xl/styles.xml><?xml version="1.0" encoding="utf-8"?>
<styleSheet xmlns="http://schemas.openxmlformats.org/spreadsheetml/2006/main">
  <numFmts count="3">
    <numFmt numFmtId="164" formatCode="# ##0.##"/>
    <numFmt numFmtId="165" formatCode="dd.mm.yyyy"/>
    <numFmt numFmtId="166" formatCode="# ##0,00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B0002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B35C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4.7109375" customWidth="1"/>
    <col min="2" max="2" width="14.7109375" customWidth="1"/>
    <col min="3" max="3" width="10.7109375" customWidth="1"/>
    <col min="4" max="4" width="12.7109375" customWidth="1"/>
    <col min="5" max="5" width="16.7109375" customWidth="1"/>
    <col min="6" max="7" width="3.7109375" customWidth="1"/>
    <col min="8" max="8" width="28.7109375" customWidth="1"/>
    <col min="9" max="9" width="13.7109375" customWidth="1"/>
    <col min="10" max="10" width="15.7109375" customWidth="1"/>
    <col min="11" max="11" width="34.7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L16"/>
  <sheetViews>
    <sheetView workbookViewId="0"/>
  </sheetViews>
  <sheetFormatPr defaultRowHeight="15"/>
  <cols>
    <col min="1" max="1" width="24.7109375" customWidth="1"/>
    <col min="2" max="2" width="14.7109375" customWidth="1"/>
    <col min="3" max="3" width="10.7109375" customWidth="1"/>
    <col min="4" max="4" width="12.7109375" customWidth="1"/>
    <col min="5" max="5" width="16.7109375" customWidth="1"/>
    <col min="6" max="7" width="3.7109375" customWidth="1"/>
    <col min="8" max="8" width="28.7109375" customWidth="1"/>
    <col min="9" max="9" width="13.7109375" customWidth="1"/>
    <col min="10" max="10" width="15.7109375" customWidth="1"/>
    <col min="11" max="11" width="34.7109375" customWidth="1"/>
  </cols>
  <sheetData>
    <row r="4" spans="1:12">
      <c r="A4" s="1" t="s">
        <v>0</v>
      </c>
      <c r="D4" s="2" t="s">
        <v>1</v>
      </c>
      <c r="H4" s="3" t="s">
        <v>2</v>
      </c>
      <c r="L4" s="4" t="s">
        <v>3</v>
      </c>
    </row>
    <row r="5" spans="1:12">
      <c r="A5" t="s">
        <v>4</v>
      </c>
      <c r="H5" s="3" t="s">
        <v>5</v>
      </c>
      <c r="I5" s="3" t="s">
        <v>6</v>
      </c>
      <c r="J5" s="3" t="s">
        <v>7</v>
      </c>
    </row>
    <row r="6" spans="1:12">
      <c r="A6" s="2" t="s">
        <v>8</v>
      </c>
      <c r="B6" s="5">
        <v>750</v>
      </c>
      <c r="H6" t="s">
        <v>11</v>
      </c>
      <c r="I6" s="6">
        <v>46128</v>
      </c>
      <c r="J6" s="7">
        <v>150000</v>
      </c>
    </row>
    <row r="7" spans="1:12">
      <c r="A7" s="2" t="s">
        <v>9</v>
      </c>
      <c r="B7" s="7">
        <v>400</v>
      </c>
    </row>
    <row r="8" spans="1:12">
      <c r="A8" s="2" t="s">
        <v>10</v>
      </c>
      <c r="B8" s="8">
        <f>ROUND(B6*B7,2)</f>
        <v>300000.0</v>
      </c>
    </row>
    <row r="10" spans="1:12">
      <c r="A10" s="2" t="s">
        <v>13</v>
      </c>
    </row>
    <row r="11" spans="1:12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H11" s="2" t="s">
        <v>12</v>
      </c>
      <c r="J11" s="7">
        <f>SUM(J6:J10)-SUMIF(H6:H10,"Перенос подтверждён",J6:J10)</f>
        <v>150000.0</v>
      </c>
    </row>
    <row r="12" spans="1:12">
      <c r="A12" s="6">
        <v>46178</v>
      </c>
      <c r="B12" s="5">
        <v>812</v>
      </c>
      <c r="C12" s="5">
        <v>8</v>
      </c>
      <c r="D12" s="5">
        <v>282</v>
      </c>
      <c r="E12" s="8">
        <f>ROUND(B7*B12,2)</f>
        <v>324800.0</v>
      </c>
      <c r="H12" s="2" t="s">
        <v>19</v>
      </c>
      <c r="J12" s="7">
        <f>SUMIF(H6:H10,"Перенос подтверждён",J6:J10)</f>
        <v>0</v>
      </c>
      <c r="K12" s="9" t="s">
        <v>20</v>
      </c>
    </row>
    <row r="14" spans="1:12">
      <c r="A14" s="2" t="s">
        <v>21</v>
      </c>
      <c r="H14" s="2" t="s">
        <v>22</v>
      </c>
      <c r="J14" s="8">
        <f>IF(E12="","",ROUND(E12-J11-J12,2))</f>
        <v>174800.0</v>
      </c>
    </row>
    <row r="15" spans="1:12">
      <c r="A15" s="2" t="s">
        <v>23</v>
      </c>
      <c r="B15" t="s">
        <v>24</v>
      </c>
      <c r="H15" s="2" t="s">
        <v>25</v>
      </c>
      <c r="J15" s="5">
        <f>IFERROR(J14/B7,"")</f>
        <v>437.0</v>
      </c>
    </row>
    <row r="16" spans="1:12">
      <c r="H16" s="10" t="s">
        <v>26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4.7109375" customWidth="1"/>
    <col min="2" max="2" width="14.7109375" customWidth="1"/>
    <col min="3" max="3" width="10.7109375" customWidth="1"/>
    <col min="4" max="4" width="12.7109375" customWidth="1"/>
    <col min="5" max="5" width="16.7109375" customWidth="1"/>
    <col min="6" max="7" width="3.7109375" customWidth="1"/>
    <col min="8" max="8" width="28.7109375" customWidth="1"/>
    <col min="9" max="9" width="13.7109375" customWidth="1"/>
    <col min="10" max="10" width="15.7109375" customWidth="1"/>
    <col min="11" max="11" width="34.71093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10.7109375" customWidth="1"/>
    <col min="4" max="4" width="22.7109375" customWidth="1"/>
    <col min="5" max="5" width="95.7109375" customWidth="1"/>
  </cols>
  <sheetData>
    <row r="1" spans="1: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>
      <c r="A2" t="s">
        <v>32</v>
      </c>
      <c r="B2" t="s">
        <v>1</v>
      </c>
      <c r="C2" s="10" t="s">
        <v>33</v>
      </c>
      <c r="D2" t="s">
        <v>34</v>
      </c>
      <c r="E2" t="s">
        <v>35</v>
      </c>
    </row>
    <row r="3" spans="1:5">
      <c r="A3" t="s">
        <v>32</v>
      </c>
      <c r="B3" t="s">
        <v>1</v>
      </c>
      <c r="C3" s="10" t="s">
        <v>33</v>
      </c>
      <c r="D3" t="s">
        <v>36</v>
      </c>
      <c r="E3" t="s">
        <v>37</v>
      </c>
    </row>
    <row r="4" spans="1:5">
      <c r="A4" t="s">
        <v>32</v>
      </c>
      <c r="B4" t="s">
        <v>1</v>
      </c>
      <c r="C4" s="10" t="s">
        <v>33</v>
      </c>
      <c r="D4" t="s">
        <v>38</v>
      </c>
      <c r="E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недоплата</vt:lpstr>
      <vt:lpstr>нет постоплат</vt:lpstr>
      <vt:lpstr>закрытые</vt:lpstr>
      <vt:lpstr>проверки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2026-10-10T15:31:01Z</dcterms:created>
  <dcterms:modified xsi:type="dcterms:W3CDTF">2026-10-10T15:31:01Z</dcterms:modified>
</cp:coreProperties>
</file>